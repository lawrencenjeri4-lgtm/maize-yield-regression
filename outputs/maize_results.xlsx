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y Ranking" sheetId="1" state="visible" r:id="rId1"/>
    <sheet name="Model Comparison" sheetId="2" state="visible" r:id="rId2"/>
    <sheet name="County Data" sheetId="3" state="visible" r:id="rId3"/>
    <sheet name="National Data" sheetId="4" state="visible" r:id="rId4"/>
  </sheets>
  <definedNames>
    <definedName name="_xlnm._FilterDatabase" localSheetId="2" hidden="1">'County Data'!$A$1:$C$26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444444"/>
      <sz val="9"/>
    </font>
    <font>
      <name val="Arial"/>
      <b val="1"/>
      <color rgb="001B5E20"/>
      <sz val="14"/>
    </font>
    <font>
      <name val="Arial"/>
      <i val="1"/>
      <color rgb="00555555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Maize yield by county vs national average</t>
        </is>
      </c>
    </row>
    <row r="2">
      <c r="A2" s="2" t="inlineStr">
        <is>
          <t>Average yield in 90 kg bags per hectare, over the years covered by the county data.</t>
        </is>
      </c>
    </row>
    <row r="4">
      <c r="A4" s="3" t="inlineStr">
        <is>
          <t>First year</t>
        </is>
      </c>
      <c r="B4" s="4">
        <f>MIN('County Data'!$B$2:$B$26)</f>
        <v/>
      </c>
    </row>
    <row r="5">
      <c r="A5" s="3" t="inlineStr">
        <is>
          <t>Last year</t>
        </is>
      </c>
      <c r="B5" s="4">
        <f>MAX('County Data'!$B$2:$B$26)</f>
        <v/>
      </c>
    </row>
    <row r="6">
      <c r="A6" s="3" t="inlineStr">
        <is>
          <t>National average, same years</t>
        </is>
      </c>
      <c r="B6" s="5">
        <f>AVERAGEIFS('National Data'!$C$2:$C$12,'National Data'!$B$2:$B$12,"&gt;="&amp;B4,'National Data'!$B$2:$B$12,"&lt;="&amp;B5)</f>
        <v/>
      </c>
    </row>
    <row r="8" ht="34" customHeight="1">
      <c r="A8" s="6" t="inlineStr">
        <is>
          <t>Rank</t>
        </is>
      </c>
      <c r="B8" s="6" t="inlineStr">
        <is>
          <t>County</t>
        </is>
      </c>
      <c r="C8" s="6" t="inlineStr">
        <is>
          <t>Average yield</t>
        </is>
      </c>
      <c r="D8" s="6" t="inlineStr">
        <is>
          <t>Lowest year</t>
        </is>
      </c>
      <c r="E8" s="6" t="inlineStr">
        <is>
          <t>Highest year</t>
        </is>
      </c>
      <c r="F8" s="6" t="inlineStr">
        <is>
          <t>vs national average</t>
        </is>
      </c>
    </row>
    <row r="9">
      <c r="A9" s="4">
        <f>RANK(C9,$C$9:$C$13)</f>
        <v/>
      </c>
      <c r="B9" s="7" t="inlineStr">
        <is>
          <t>Trans Nzoia</t>
        </is>
      </c>
      <c r="C9" s="5">
        <f>AVERAGEIFS('County Data'!$C$2:$C$26,'County Data'!$A$2:$A$26,B9)</f>
        <v/>
      </c>
      <c r="D9" s="5">
        <f>_xlfn.MINIFS('County Data'!$C$2:$C$26,'County Data'!$A$2:$A$26,B9)</f>
        <v/>
      </c>
      <c r="E9" s="5">
        <f>_xlfn.MAXIFS('County Data'!$C$2:$C$26,'County Data'!$A$2:$A$26,B9)</f>
        <v/>
      </c>
      <c r="F9" s="8">
        <f>C9/$B$6-1</f>
        <v/>
      </c>
    </row>
    <row r="10">
      <c r="A10" s="9">
        <f>RANK(C10,$C$9:$C$13)</f>
        <v/>
      </c>
      <c r="B10" s="10" t="inlineStr">
        <is>
          <t>Uasin Gishu</t>
        </is>
      </c>
      <c r="C10" s="11">
        <f>AVERAGEIFS('County Data'!$C$2:$C$26,'County Data'!$A$2:$A$26,B10)</f>
        <v/>
      </c>
      <c r="D10" s="11">
        <f>_xlfn.MINIFS('County Data'!$C$2:$C$26,'County Data'!$A$2:$A$26,B10)</f>
        <v/>
      </c>
      <c r="E10" s="11">
        <f>_xlfn.MAXIFS('County Data'!$C$2:$C$26,'County Data'!$A$2:$A$26,B10)</f>
        <v/>
      </c>
      <c r="F10" s="12">
        <f>C10/$B$6-1</f>
        <v/>
      </c>
    </row>
    <row r="11">
      <c r="A11" s="4">
        <f>RANK(C11,$C$9:$C$13)</f>
        <v/>
      </c>
      <c r="B11" s="7" t="inlineStr">
        <is>
          <t>Bungoma</t>
        </is>
      </c>
      <c r="C11" s="5">
        <f>AVERAGEIFS('County Data'!$C$2:$C$26,'County Data'!$A$2:$A$26,B11)</f>
        <v/>
      </c>
      <c r="D11" s="5">
        <f>_xlfn.MINIFS('County Data'!$C$2:$C$26,'County Data'!$A$2:$A$26,B11)</f>
        <v/>
      </c>
      <c r="E11" s="5">
        <f>_xlfn.MAXIFS('County Data'!$C$2:$C$26,'County Data'!$A$2:$A$26,B11)</f>
        <v/>
      </c>
      <c r="F11" s="8">
        <f>C11/$B$6-1</f>
        <v/>
      </c>
    </row>
    <row r="12">
      <c r="A12" s="9">
        <f>RANK(C12,$C$9:$C$13)</f>
        <v/>
      </c>
      <c r="B12" s="10" t="inlineStr">
        <is>
          <t>Nakuru</t>
        </is>
      </c>
      <c r="C12" s="11">
        <f>AVERAGEIFS('County Data'!$C$2:$C$26,'County Data'!$A$2:$A$26,B12)</f>
        <v/>
      </c>
      <c r="D12" s="11">
        <f>_xlfn.MINIFS('County Data'!$C$2:$C$26,'County Data'!$A$2:$A$26,B12)</f>
        <v/>
      </c>
      <c r="E12" s="11">
        <f>_xlfn.MAXIFS('County Data'!$C$2:$C$26,'County Data'!$A$2:$A$26,B12)</f>
        <v/>
      </c>
      <c r="F12" s="12">
        <f>C12/$B$6-1</f>
        <v/>
      </c>
    </row>
    <row r="13">
      <c r="A13" s="4">
        <f>RANK(C13,$C$9:$C$13)</f>
        <v/>
      </c>
      <c r="B13" s="7" t="inlineStr">
        <is>
          <t>Narok</t>
        </is>
      </c>
      <c r="C13" s="5">
        <f>AVERAGEIFS('County Data'!$C$2:$C$26,'County Data'!$A$2:$A$26,B13)</f>
        <v/>
      </c>
      <c r="D13" s="5">
        <f>_xlfn.MINIFS('County Data'!$C$2:$C$26,'County Data'!$A$2:$A$26,B13)</f>
        <v/>
      </c>
      <c r="E13" s="5">
        <f>_xlfn.MAXIFS('County Data'!$C$2:$C$26,'County Data'!$A$2:$A$26,B13)</f>
        <v/>
      </c>
      <c r="F13" s="8">
        <f>C13/$B$6-1</f>
        <v/>
      </c>
    </row>
    <row r="15">
      <c r="A15" s="13" t="inlineStr">
        <is>
          <t>Notes</t>
        </is>
      </c>
    </row>
    <row r="16">
      <c r="A16" s="14" t="inlineStr">
        <is>
          <t>These are the counties chosen for this analysis, so this is not a ranking of all counties.</t>
        </is>
      </c>
    </row>
    <row r="17">
      <c r="A17" s="14" t="inlineStr">
        <is>
          <t>Counties with close averages should be treated as roughly tied.</t>
        </is>
      </c>
    </row>
    <row r="18">
      <c r="A18" s="14" t="inlineStr">
        <is>
          <t>The latest year in the data may be provisional. See the County Data sheet for sources.</t>
        </is>
      </c>
    </row>
  </sheetData>
  <conditionalFormatting sqref="C9:C13">
    <cfRule type="dataBar" priority="1">
      <dataBar showValue="1">
        <cfvo type="num" val="0"/>
        <cfvo type="max"/>
        <color rgb="0043A0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22" customWidth="1" min="4" max="4"/>
    <col width="11" customWidth="1" min="5" max="5"/>
    <col width="10" customWidth="1" min="6" max="6"/>
    <col width="22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>
      <c r="A1" s="1" t="inlineStr">
        <is>
          <t>Maize yield vs rainfall: model comparison</t>
        </is>
      </c>
    </row>
    <row r="2">
      <c r="A2" s="2" t="inlineStr">
        <is>
          <t>Outcome: maize yield (kg per acre). Predictor: seasonal rainfall (mm). Calculated by src/export_excel.py.</t>
        </is>
      </c>
    </row>
    <row r="4" ht="34" customHeight="1">
      <c r="A4" s="6" t="inlineStr">
        <is>
          <t>Model</t>
        </is>
      </c>
      <c r="B4" s="6" t="inlineStr">
        <is>
          <t>Data</t>
        </is>
      </c>
      <c r="C4" s="6" t="inlineStr">
        <is>
          <t>Observations (n)</t>
        </is>
      </c>
      <c r="D4" s="6" t="inlineStr">
        <is>
          <t>Rainfall coefficient (kg/acre per mm)</t>
        </is>
      </c>
      <c r="E4" s="6" t="inlineStr">
        <is>
          <t>Std. error</t>
        </is>
      </c>
      <c r="F4" s="6" t="inlineStr">
        <is>
          <t>p-value</t>
        </is>
      </c>
      <c r="G4" s="6" t="inlineStr">
        <is>
          <t>Effect of +100 mm rain (kg/acre)</t>
        </is>
      </c>
      <c r="H4" s="6" t="inlineStr">
        <is>
          <t>R²</t>
        </is>
      </c>
      <c r="I4" s="6" t="inlineStr">
        <is>
          <t>Adjusted R²</t>
        </is>
      </c>
      <c r="J4" s="6" t="inlineStr">
        <is>
          <t>AIC</t>
        </is>
      </c>
      <c r="K4" s="6" t="inlineStr">
        <is>
          <t>Significant at 5%?</t>
        </is>
      </c>
    </row>
    <row r="5">
      <c r="A5" s="3" t="inlineStr">
        <is>
          <t>1. Rainfall only</t>
        </is>
      </c>
      <c r="B5" s="15" t="inlineStr">
        <is>
          <t>National, 11 years</t>
        </is>
      </c>
      <c r="C5" s="4" t="n">
        <v>11</v>
      </c>
      <c r="D5" s="16" t="n">
        <v>0.07572184220793407</v>
      </c>
      <c r="E5" s="17" t="n">
        <v>0.04921856398037847</v>
      </c>
      <c r="F5" s="17" t="n">
        <v>0.1583127915645536</v>
      </c>
      <c r="G5" s="5">
        <f>D5*100</f>
        <v/>
      </c>
      <c r="H5" s="17" t="n">
        <v>0.2082291266413381</v>
      </c>
      <c r="I5" s="17" t="n">
        <v>0.1202545851570423</v>
      </c>
      <c r="J5" s="5" t="n">
        <v>114.2990596640345</v>
      </c>
      <c r="K5" s="18">
        <f>IF(F5&lt;0.05,"Yes","No")</f>
        <v/>
      </c>
    </row>
    <row r="6">
      <c r="A6" s="19" t="inlineStr">
        <is>
          <t>2. Rainfall only</t>
        </is>
      </c>
      <c r="B6" s="20" t="inlineStr">
        <is>
          <t>5 counties, 2019-2023</t>
        </is>
      </c>
      <c r="C6" s="9" t="n">
        <v>25</v>
      </c>
      <c r="D6" s="21" t="n">
        <v>0.4397947588480869</v>
      </c>
      <c r="E6" s="22" t="n">
        <v>0.07771943605813902</v>
      </c>
      <c r="F6" s="22" t="n">
        <v>9.245061063206133e-06</v>
      </c>
      <c r="G6" s="11">
        <f>D6*100</f>
        <v/>
      </c>
      <c r="H6" s="22" t="n">
        <v>0.581981110444367</v>
      </c>
      <c r="I6" s="22" t="n">
        <v>0.5638063761158612</v>
      </c>
      <c r="J6" s="11" t="n">
        <v>337.7679162153262</v>
      </c>
      <c r="K6" s="23">
        <f>IF(F6&lt;0.05,"Yes","No")</f>
        <v/>
      </c>
    </row>
    <row r="7">
      <c r="A7" s="3" t="inlineStr">
        <is>
          <t>3. Rainfall + county effects</t>
        </is>
      </c>
      <c r="B7" s="15" t="inlineStr">
        <is>
          <t>5 counties, 2019-2023</t>
        </is>
      </c>
      <c r="C7" s="4" t="n">
        <v>25</v>
      </c>
      <c r="D7" s="16" t="n">
        <v>0.1802608386916721</v>
      </c>
      <c r="E7" s="17" t="n">
        <v>0.08048534167215889</v>
      </c>
      <c r="F7" s="17" t="n">
        <v>0.03726696619635949</v>
      </c>
      <c r="G7" s="5">
        <f>D7*100</f>
        <v/>
      </c>
      <c r="H7" s="17" t="n">
        <v>0.8349887413836815</v>
      </c>
      <c r="I7" s="17" t="n">
        <v>0.7915647259583345</v>
      </c>
      <c r="J7" s="5" t="n">
        <v>322.5300933098976</v>
      </c>
      <c r="K7" s="18">
        <f>IF(F7&lt;0.05,"Yes","No")</f>
        <v/>
      </c>
    </row>
    <row r="9">
      <c r="A9" s="13" t="inlineStr">
        <is>
          <t>How to read this</t>
        </is>
      </c>
    </row>
    <row r="10">
      <c r="A10" s="14" t="inlineStr">
        <is>
          <t>Model 1 (national): adjusted R² = 0.12; the rainfall effect is not significant at 5%.</t>
        </is>
      </c>
    </row>
    <row r="11">
      <c r="A11" s="14" t="inlineStr">
        <is>
          <t>Model 2 mixes counties, so part of the rainfall effect reflects differences between counties (soil, altitude, farming system).</t>
        </is>
      </c>
    </row>
    <row r="12">
      <c r="A12" s="14" t="inlineStr">
        <is>
          <t>Model 3 controls for those differences: the rainfall effect is 18.0 kg/acre per 100 mm and significant at 5% (p = 0.037).</t>
        </is>
      </c>
    </row>
    <row r="13">
      <c r="A13" s="14" t="inlineStr">
        <is>
          <t>AIC (lower is better) can only be compared between Models 2 and 3, which use the same data.</t>
        </is>
      </c>
    </row>
    <row r="14">
      <c r="A14" s="14" t="inlineStr">
        <is>
          <t>Caution: few counties and years, rows within a county are not independent, and rainfall is one satellite point per county.</t>
        </is>
      </c>
    </row>
    <row r="15">
      <c r="A15" s="14" t="inlineStr">
        <is>
          <t>These values are calculated from the merged data files each time this script runs.</t>
        </is>
      </c>
    </row>
  </sheetData>
  <conditionalFormatting sqref="K5:K7">
    <cfRule type="expression" priority="1" dxfId="0">
      <formula>K5="Yes"</formula>
    </cfRule>
    <cfRule type="expression" priority="2" dxfId="1">
      <formula>K5="No"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</cols>
  <sheetData>
    <row r="1" ht="34" customHeight="1">
      <c r="A1" s="6" t="inlineStr">
        <is>
          <t>County</t>
        </is>
      </c>
      <c r="B1" s="6" t="inlineStr">
        <is>
          <t>Year</t>
        </is>
      </c>
      <c r="C1" s="6" t="inlineStr">
        <is>
          <t>Yield (90 kg bags per hectare)</t>
        </is>
      </c>
    </row>
    <row r="2">
      <c r="A2" s="18" t="inlineStr">
        <is>
          <t>Uasin Gishu</t>
        </is>
      </c>
      <c r="B2" s="4" t="n">
        <v>2019</v>
      </c>
      <c r="C2" s="5" t="n">
        <v>36</v>
      </c>
    </row>
    <row r="3">
      <c r="A3" s="23" t="inlineStr">
        <is>
          <t>Uasin Gishu</t>
        </is>
      </c>
      <c r="B3" s="9" t="n">
        <v>2020</v>
      </c>
      <c r="C3" s="11" t="n">
        <v>47.4</v>
      </c>
    </row>
    <row r="4">
      <c r="A4" s="18" t="inlineStr">
        <is>
          <t>Uasin Gishu</t>
        </is>
      </c>
      <c r="B4" s="4" t="n">
        <v>2021</v>
      </c>
      <c r="C4" s="5" t="n">
        <v>40.9</v>
      </c>
    </row>
    <row r="5">
      <c r="A5" s="23" t="inlineStr">
        <is>
          <t>Uasin Gishu</t>
        </is>
      </c>
      <c r="B5" s="9" t="n">
        <v>2022</v>
      </c>
      <c r="C5" s="11" t="n">
        <v>39</v>
      </c>
    </row>
    <row r="6">
      <c r="A6" s="18" t="inlineStr">
        <is>
          <t>Uasin Gishu</t>
        </is>
      </c>
      <c r="B6" s="4" t="n">
        <v>2023</v>
      </c>
      <c r="C6" s="5" t="n">
        <v>44.9</v>
      </c>
    </row>
    <row r="7">
      <c r="A7" s="23" t="inlineStr">
        <is>
          <t>Trans Nzoia</t>
        </is>
      </c>
      <c r="B7" s="9" t="n">
        <v>2019</v>
      </c>
      <c r="C7" s="11" t="n">
        <v>44.5</v>
      </c>
    </row>
    <row r="8">
      <c r="A8" s="18" t="inlineStr">
        <is>
          <t>Trans Nzoia</t>
        </is>
      </c>
      <c r="B8" s="4" t="n">
        <v>2020</v>
      </c>
      <c r="C8" s="5" t="n">
        <v>51.8</v>
      </c>
    </row>
    <row r="9">
      <c r="A9" s="23" t="inlineStr">
        <is>
          <t>Trans Nzoia</t>
        </is>
      </c>
      <c r="B9" s="9" t="n">
        <v>2021</v>
      </c>
      <c r="C9" s="11" t="n">
        <v>42.3</v>
      </c>
    </row>
    <row r="10">
      <c r="A10" s="18" t="inlineStr">
        <is>
          <t>Trans Nzoia</t>
        </is>
      </c>
      <c r="B10" s="4" t="n">
        <v>2022</v>
      </c>
      <c r="C10" s="5" t="n">
        <v>39.8</v>
      </c>
    </row>
    <row r="11">
      <c r="A11" s="23" t="inlineStr">
        <is>
          <t>Trans Nzoia</t>
        </is>
      </c>
      <c r="B11" s="9" t="n">
        <v>2023</v>
      </c>
      <c r="C11" s="11" t="n">
        <v>39.8</v>
      </c>
    </row>
    <row r="12">
      <c r="A12" s="18" t="inlineStr">
        <is>
          <t>Narok</t>
        </is>
      </c>
      <c r="B12" s="4" t="n">
        <v>2019</v>
      </c>
      <c r="C12" s="5" t="n">
        <v>20.9</v>
      </c>
    </row>
    <row r="13">
      <c r="A13" s="23" t="inlineStr">
        <is>
          <t>Narok</t>
        </is>
      </c>
      <c r="B13" s="9" t="n">
        <v>2020</v>
      </c>
      <c r="C13" s="11" t="n">
        <v>19.3</v>
      </c>
    </row>
    <row r="14">
      <c r="A14" s="18" t="inlineStr">
        <is>
          <t>Narok</t>
        </is>
      </c>
      <c r="B14" s="4" t="n">
        <v>2021</v>
      </c>
      <c r="C14" s="5" t="n">
        <v>25.6</v>
      </c>
    </row>
    <row r="15">
      <c r="A15" s="23" t="inlineStr">
        <is>
          <t>Narok</t>
        </is>
      </c>
      <c r="B15" s="9" t="n">
        <v>2022</v>
      </c>
      <c r="C15" s="11" t="n">
        <v>23.7</v>
      </c>
    </row>
    <row r="16">
      <c r="A16" s="18" t="inlineStr">
        <is>
          <t>Narok</t>
        </is>
      </c>
      <c r="B16" s="4" t="n">
        <v>2023</v>
      </c>
      <c r="C16" s="5" t="n">
        <v>26.4</v>
      </c>
    </row>
    <row r="17">
      <c r="A17" s="23" t="inlineStr">
        <is>
          <t>Bungoma</t>
        </is>
      </c>
      <c r="B17" s="9" t="n">
        <v>2019</v>
      </c>
      <c r="C17" s="11" t="n">
        <v>37.1</v>
      </c>
    </row>
    <row r="18">
      <c r="A18" s="18" t="inlineStr">
        <is>
          <t>Bungoma</t>
        </is>
      </c>
      <c r="B18" s="4" t="n">
        <v>2020</v>
      </c>
      <c r="C18" s="5" t="n">
        <v>40.2</v>
      </c>
    </row>
    <row r="19">
      <c r="A19" s="23" t="inlineStr">
        <is>
          <t>Bungoma</t>
        </is>
      </c>
      <c r="B19" s="9" t="n">
        <v>2021</v>
      </c>
      <c r="C19" s="11" t="n">
        <v>32.1</v>
      </c>
    </row>
    <row r="20">
      <c r="A20" s="18" t="inlineStr">
        <is>
          <t>Bungoma</t>
        </is>
      </c>
      <c r="B20" s="4" t="n">
        <v>2022</v>
      </c>
      <c r="C20" s="5" t="n">
        <v>33.2</v>
      </c>
    </row>
    <row r="21">
      <c r="A21" s="23" t="inlineStr">
        <is>
          <t>Bungoma</t>
        </is>
      </c>
      <c r="B21" s="9" t="n">
        <v>2023</v>
      </c>
      <c r="C21" s="11" t="n">
        <v>26.7</v>
      </c>
    </row>
    <row r="22">
      <c r="A22" s="18" t="inlineStr">
        <is>
          <t>Nakuru</t>
        </is>
      </c>
      <c r="B22" s="4" t="n">
        <v>2019</v>
      </c>
      <c r="C22" s="5" t="n">
        <v>31.1</v>
      </c>
    </row>
    <row r="23">
      <c r="A23" s="23" t="inlineStr">
        <is>
          <t>Nakuru</t>
        </is>
      </c>
      <c r="B23" s="9" t="n">
        <v>2020</v>
      </c>
      <c r="C23" s="11" t="n">
        <v>35.3</v>
      </c>
    </row>
    <row r="24">
      <c r="A24" s="18" t="inlineStr">
        <is>
          <t>Nakuru</t>
        </is>
      </c>
      <c r="B24" s="4" t="n">
        <v>2021</v>
      </c>
      <c r="C24" s="5" t="n">
        <v>30.8</v>
      </c>
    </row>
    <row r="25">
      <c r="A25" s="23" t="inlineStr">
        <is>
          <t>Nakuru</t>
        </is>
      </c>
      <c r="B25" s="9" t="n">
        <v>2022</v>
      </c>
      <c r="C25" s="11" t="n">
        <v>35.9</v>
      </c>
    </row>
    <row r="26">
      <c r="A26" s="18" t="inlineStr">
        <is>
          <t>Nakuru</t>
        </is>
      </c>
      <c r="B26" s="4" t="n">
        <v>2023</v>
      </c>
      <c r="C26" s="5" t="n">
        <v>33.5</v>
      </c>
    </row>
    <row r="28">
      <c r="A28" s="14" t="inlineStr">
        <is>
          <t>Source: KNBS National Agriculture Production Report (maize area and production by county). Yield = tonnes / 0.09 / hectares. The latest year may be provisional.</t>
        </is>
      </c>
    </row>
  </sheetData>
  <autoFilter ref="A1:C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</cols>
  <sheetData>
    <row r="1" ht="34" customHeight="1">
      <c r="A1" s="6" t="inlineStr">
        <is>
          <t>Region</t>
        </is>
      </c>
      <c r="B1" s="6" t="inlineStr">
        <is>
          <t>Year</t>
        </is>
      </c>
      <c r="C1" s="6" t="inlineStr">
        <is>
          <t>Yield (90 kg bags per hectare)</t>
        </is>
      </c>
    </row>
    <row r="2">
      <c r="A2" s="18" t="inlineStr">
        <is>
          <t>Kenya</t>
        </is>
      </c>
      <c r="B2" s="4" t="n">
        <v>2010</v>
      </c>
      <c r="C2" s="5" t="n">
        <v>19.2</v>
      </c>
    </row>
    <row r="3">
      <c r="A3" s="23" t="inlineStr">
        <is>
          <t>Kenya</t>
        </is>
      </c>
      <c r="B3" s="9" t="n">
        <v>2011</v>
      </c>
      <c r="C3" s="11" t="n">
        <v>17.6</v>
      </c>
    </row>
    <row r="4">
      <c r="A4" s="18" t="inlineStr">
        <is>
          <t>Kenya</t>
        </is>
      </c>
      <c r="B4" s="4" t="n">
        <v>2012</v>
      </c>
      <c r="C4" s="5" t="n">
        <v>19.3</v>
      </c>
    </row>
    <row r="5">
      <c r="A5" s="23" t="inlineStr">
        <is>
          <t>Kenya</t>
        </is>
      </c>
      <c r="B5" s="9" t="n">
        <v>2013</v>
      </c>
      <c r="C5" s="11" t="n">
        <v>18.8</v>
      </c>
    </row>
    <row r="6">
      <c r="A6" s="18" t="inlineStr">
        <is>
          <t>Kenya</t>
        </is>
      </c>
      <c r="B6" s="4" t="n">
        <v>2014</v>
      </c>
      <c r="C6" s="5" t="n">
        <v>18.4</v>
      </c>
    </row>
    <row r="7">
      <c r="A7" s="23" t="inlineStr">
        <is>
          <t>Kenya</t>
        </is>
      </c>
      <c r="B7" s="9" t="n">
        <v>2019</v>
      </c>
      <c r="C7" s="11" t="n">
        <v>19.9</v>
      </c>
    </row>
    <row r="8">
      <c r="A8" s="18" t="inlineStr">
        <is>
          <t>Kenya</t>
        </is>
      </c>
      <c r="B8" s="4" t="n">
        <v>2020</v>
      </c>
      <c r="C8" s="5" t="n">
        <v>19.4</v>
      </c>
    </row>
    <row r="9">
      <c r="A9" s="23" t="inlineStr">
        <is>
          <t>Kenya</t>
        </is>
      </c>
      <c r="B9" s="9" t="n">
        <v>2021</v>
      </c>
      <c r="C9" s="11" t="n">
        <v>16.9</v>
      </c>
    </row>
    <row r="10">
      <c r="A10" s="18" t="inlineStr">
        <is>
          <t>Kenya</t>
        </is>
      </c>
      <c r="B10" s="4" t="n">
        <v>2022</v>
      </c>
      <c r="C10" s="5" t="n">
        <v>16.2</v>
      </c>
    </row>
    <row r="11">
      <c r="A11" s="23" t="inlineStr">
        <is>
          <t>Kenya</t>
        </is>
      </c>
      <c r="B11" s="9" t="n">
        <v>2023</v>
      </c>
      <c r="C11" s="11" t="n">
        <v>19.6</v>
      </c>
    </row>
    <row r="12">
      <c r="A12" s="18" t="inlineStr">
        <is>
          <t>Kenya</t>
        </is>
      </c>
      <c r="B12" s="4" t="n">
        <v>2024</v>
      </c>
      <c r="C12" s="5" t="n">
        <v>18.6</v>
      </c>
    </row>
    <row r="14">
      <c r="A14" s="14" t="inlineStr">
        <is>
          <t>Sources: Ministry of Agriculture Economic Review of Agriculture and KNBS national area and production. The sources may use different methods, and some years may be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2026-09-20T19:34:17Z</dcterms:created>
  <dcterms:modified xsi:type="dcterms:W3CDTF">2026-09-20T19:34:17Z</dcterms:modified>
</cp:coreProperties>
</file>