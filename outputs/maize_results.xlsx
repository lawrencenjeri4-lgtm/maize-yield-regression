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unty Ranking" sheetId="1" state="visible" r:id="rId3"/>
    <sheet name="Model Comparison" sheetId="2" state="visible" r:id="rId4"/>
    <sheet name="County Data" sheetId="3" state="visible" r:id="rId5"/>
    <sheet name="National Data" sheetId="4" state="visible" r:id="rId6"/>
  </sheets>
  <definedNames>
    <definedName function="false" hidden="true" localSheetId="2" name="_xlnm._FilterDatabase" vbProcedure="false">'County Data'!$A$1:$C$26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<sst xmlns="http://schemas.openxmlformats.org/spreadsheetml/2006/main" count="92" uniqueCount="53">
  <si>
    <t xml:space="preserve">Maize yield by county vs national average</t>
  </si>
  <si>
    <t xml:space="preserve">Average yield in 90 kg bags per hectare, over the years covered by the county data.</t>
  </si>
  <si>
    <t xml:space="preserve">First year</t>
  </si>
  <si>
    <t xml:space="preserve">Last year</t>
  </si>
  <si>
    <t xml:space="preserve">National average, same years</t>
  </si>
  <si>
    <t xml:space="preserve">Rank</t>
  </si>
  <si>
    <t xml:space="preserve">County</t>
  </si>
  <si>
    <t xml:space="preserve">Average yield</t>
  </si>
  <si>
    <t xml:space="preserve">Lowest year</t>
  </si>
  <si>
    <t xml:space="preserve">Highest year</t>
  </si>
  <si>
    <t xml:space="preserve">vs national average</t>
  </si>
  <si>
    <t xml:space="preserve">Trans Nzoia</t>
  </si>
  <si>
    <t xml:space="preserve">Uasin Gishu</t>
  </si>
  <si>
    <t xml:space="preserve">Bungoma</t>
  </si>
  <si>
    <t xml:space="preserve">Nakuru</t>
  </si>
  <si>
    <t xml:space="preserve">Narok</t>
  </si>
  <si>
    <t xml:space="preserve">Notes</t>
  </si>
  <si>
    <t xml:space="preserve">These are five of Kenya's main maize counties, chosen for this analysis, so they are expected to beat the national average.</t>
  </si>
  <si>
    <t xml:space="preserve">This is not a ranking of all counties. Bungoma and Nakuru are close, so treat them as roughly tied.</t>
  </si>
  <si>
    <t xml:space="preserve">Only 5 years of data (2023 is provisional). Yields come from KNBS figures; see the County Data sheet.</t>
  </si>
  <si>
    <t xml:space="preserve">Maize yield vs rainfall: model comparison</t>
  </si>
  <si>
    <t xml:space="preserve">Outcome: maize yield (kg per acre). Predictor: seasonal rainfall (mm). Results copied from the regression script output.</t>
  </si>
  <si>
    <t xml:space="preserve">Model</t>
  </si>
  <si>
    <t xml:space="preserve">Data</t>
  </si>
  <si>
    <t xml:space="preserve">Observations (n)</t>
  </si>
  <si>
    <t xml:space="preserve">Rainfall coefficient (kg/acre per mm)</t>
  </si>
  <si>
    <t xml:space="preserve">Std. error</t>
  </si>
  <si>
    <t xml:space="preserve">p-value</t>
  </si>
  <si>
    <t xml:space="preserve">Effect of +100 mm rain (kg/acre)</t>
  </si>
  <si>
    <t xml:space="preserve">R²</t>
  </si>
  <si>
    <t xml:space="preserve">Adjusted R²</t>
  </si>
  <si>
    <t xml:space="preserve">AIC</t>
  </si>
  <si>
    <t xml:space="preserve">Significant at 5%?</t>
  </si>
  <si>
    <t xml:space="preserve">1. Rainfall only</t>
  </si>
  <si>
    <t xml:space="preserve">National, 11 years</t>
  </si>
  <si>
    <t xml:space="preserve">2. Rainfall only</t>
  </si>
  <si>
    <t xml:space="preserve">5 counties, 2019-2023</t>
  </si>
  <si>
    <t xml:space="preserve">3. Rainfall + county effects</t>
  </si>
  <si>
    <t xml:space="preserve">How to read this</t>
  </si>
  <si>
    <t xml:space="preserve">Model 1 (national) is weak: rainfall explains about 12% of the variation and the effect is not significant.</t>
  </si>
  <si>
    <t xml:space="preserve">Model 2 mixes counties, so part of the rainfall effect reflects differences between counties (soil, altitude, farming system).</t>
  </si>
  <si>
    <t xml:space="preserve">Model 3 controls for those differences, so the rainfall effect shrinks to about 18 kg/acre per 100 mm, but stays significant at 5%.</t>
  </si>
  <si>
    <t xml:space="preserve">AIC (lower is better) can only be compared between Models 2 and 3, which use the same data. Model 1 uses different data.</t>
  </si>
  <si>
    <t xml:space="preserve">A p-value shown as 0.000 means it was reported as 0.000 (below 0.0005) in the script output.</t>
  </si>
  <si>
    <t xml:space="preserve">Caution: only 5 counties x 5 years, rows within a county are not independent, and rainfall is one satellite point per county.</t>
  </si>
  <si>
    <t xml:space="preserve">Source: output of src/maize_yield_regression.py on the national and county datasets (values typed in from the terminal output).</t>
  </si>
  <si>
    <t xml:space="preserve">Year</t>
  </si>
  <si>
    <t xml:space="preserve">Yield (90 kg bags per hectare)</t>
  </si>
  <si>
    <t xml:space="preserve">Source: KNBS National Agriculture Production Report 2024 (maize area and production by county). Yield = tonnes / 0.09 / hectares. 2023 figures are provisional.</t>
  </si>
  <si>
    <t xml:space="preserve">Region</t>
  </si>
  <si>
    <t xml:space="preserve">Kenya</t>
  </si>
  <si>
    <t xml:space="preserve">Sources: 2010-2014 from the Ministry of Agriculture, Economic Review of Agriculture 2015. 2019-2024 calculated from KNBS national area and production (tonnes / 0.09 / hectares).</t>
  </si>
  <si>
    <t xml:space="preserve">The two sources may use different methods, and 2015-2018 are missing.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</si>
</sst>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0%"/>
    <numFmt numFmtId="168" formatCode="0.0000"/>
    <numFmt numFmtId="169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2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44444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5E20"/>
        <bgColor rgb="FF444444"/>
      </patternFill>
    </fill>
    <fill>
      <patternFill patternType="solid">
        <fgColor rgb="FFE8F5E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B5E20"/>
      </font>
      <fill>
        <patternFill>
          <bgColor rgb="FFC8E6C9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FCDD2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E8F5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4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MIN('County Data'!$B$2:$B$26)</f>
        <v>2019</v>
      </c>
    </row>
    <row r="5" customFormat="false" ht="15" hidden="false" customHeight="false" outlineLevel="0" collapsed="false">
      <c r="A5" s="3" t="s">
        <v>3</v>
      </c>
      <c r="B5" s="4" t="n">
        <f aca="false">MAX('County Data'!$B$2:$B$26)</f>
        <v>2023</v>
      </c>
    </row>
    <row r="6" customFormat="false" ht="15" hidden="false" customHeight="false" outlineLevel="0" collapsed="false">
      <c r="A6" s="3" t="s">
        <v>4</v>
      </c>
      <c r="B6" s="5" t="n">
        <f aca="false">AVERAGEIFS('National Data'!$C$2:$C$12,'National Data'!$B$2:$B$12,"&gt;="&amp;B4,'National Data'!$B$2:$B$12,"&lt;="&amp;B5)</f>
        <v>18.4</v>
      </c>
    </row>
    <row r="8" customFormat="false" ht="33.7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</row>
    <row r="9" customFormat="false" ht="15" hidden="false" customHeight="false" outlineLevel="0" collapsed="false">
      <c r="A9" s="4" t="n">
        <f aca="false">RANK(C9,$C$9:$C$13)</f>
        <v>1</v>
      </c>
      <c r="B9" s="7" t="s">
        <v>11</v>
      </c>
      <c r="C9" s="5" t="n">
        <f aca="false">AVERAGEIFS('County Data'!$C$2:$C$26,'County Data'!$A$2:$A$26,B9)</f>
        <v>43.64</v>
      </c>
      <c r="D9" s="5" t="n">
        <f aca="false">_xlfn.MINIFS('County Data'!$C$2:$C$26,'County Data'!$A$2:$A$26,B9)</f>
        <v>39.8</v>
      </c>
      <c r="E9" s="5" t="n">
        <f aca="false">_xlfn.MAXIFS('County Data'!$C$2:$C$26,'County Data'!$A$2:$A$26,B9)</f>
        <v>51.8</v>
      </c>
      <c r="F9" s="8" t="n">
        <f aca="false">C9/$B$6-1</f>
        <v>1.37173913043478</v>
      </c>
    </row>
    <row r="10" customFormat="false" ht="15" hidden="false" customHeight="false" outlineLevel="0" collapsed="false">
      <c r="A10" s="9" t="n">
        <f aca="false">RANK(C10,$C$9:$C$13)</f>
        <v>2</v>
      </c>
      <c r="B10" s="10" t="s">
        <v>12</v>
      </c>
      <c r="C10" s="11" t="n">
        <f aca="false">AVERAGEIFS('County Data'!$C$2:$C$26,'County Data'!$A$2:$A$26,B10)</f>
        <v>41.64</v>
      </c>
      <c r="D10" s="11" t="n">
        <f aca="false">_xlfn.MINIFS('County Data'!$C$2:$C$26,'County Data'!$A$2:$A$26,B10)</f>
        <v>36</v>
      </c>
      <c r="E10" s="11" t="n">
        <f aca="false">_xlfn.MAXIFS('County Data'!$C$2:$C$26,'County Data'!$A$2:$A$26,B10)</f>
        <v>47.4</v>
      </c>
      <c r="F10" s="12" t="n">
        <f aca="false">C10/$B$6-1</f>
        <v>1.26304347826087</v>
      </c>
    </row>
    <row r="11" customFormat="false" ht="15" hidden="false" customHeight="false" outlineLevel="0" collapsed="false">
      <c r="A11" s="4" t="n">
        <f aca="false">RANK(C11,$C$9:$C$13)</f>
        <v>3</v>
      </c>
      <c r="B11" s="7" t="s">
        <v>13</v>
      </c>
      <c r="C11" s="5" t="n">
        <f aca="false">AVERAGEIFS('County Data'!$C$2:$C$26,'County Data'!$A$2:$A$26,B11)</f>
        <v>33.86</v>
      </c>
      <c r="D11" s="5" t="n">
        <f aca="false">_xlfn.MINIFS('County Data'!$C$2:$C$26,'County Data'!$A$2:$A$26,B11)</f>
        <v>26.7</v>
      </c>
      <c r="E11" s="5" t="n">
        <f aca="false">_xlfn.MAXIFS('County Data'!$C$2:$C$26,'County Data'!$A$2:$A$26,B11)</f>
        <v>40.2</v>
      </c>
      <c r="F11" s="8" t="n">
        <f aca="false">C11/$B$6-1</f>
        <v>0.840217391304348</v>
      </c>
    </row>
    <row r="12" customFormat="false" ht="15" hidden="false" customHeight="false" outlineLevel="0" collapsed="false">
      <c r="A12" s="9" t="n">
        <f aca="false">RANK(C12,$C$9:$C$13)</f>
        <v>4</v>
      </c>
      <c r="B12" s="10" t="s">
        <v>14</v>
      </c>
      <c r="C12" s="11" t="n">
        <f aca="false">AVERAGEIFS('County Data'!$C$2:$C$26,'County Data'!$A$2:$A$26,B12)</f>
        <v>33.32</v>
      </c>
      <c r="D12" s="11" t="n">
        <f aca="false">_xlfn.MINIFS('County Data'!$C$2:$C$26,'County Data'!$A$2:$A$26,B12)</f>
        <v>30.8</v>
      </c>
      <c r="E12" s="11" t="n">
        <f aca="false">_xlfn.MAXIFS('County Data'!$C$2:$C$26,'County Data'!$A$2:$A$26,B12)</f>
        <v>35.9</v>
      </c>
      <c r="F12" s="12" t="n">
        <f aca="false">C12/$B$6-1</f>
        <v>0.810869565217391</v>
      </c>
    </row>
    <row r="13" customFormat="false" ht="15" hidden="false" customHeight="false" outlineLevel="0" collapsed="false">
      <c r="A13" s="4" t="n">
        <f aca="false">RANK(C13,$C$9:$C$13)</f>
        <v>5</v>
      </c>
      <c r="B13" s="7" t="s">
        <v>15</v>
      </c>
      <c r="C13" s="5" t="n">
        <f aca="false">AVERAGEIFS('County Data'!$C$2:$C$26,'County Data'!$A$2:$A$26,B13)</f>
        <v>23.18</v>
      </c>
      <c r="D13" s="5" t="n">
        <f aca="false">_xlfn.MINIFS('County Data'!$C$2:$C$26,'County Data'!$A$2:$A$26,B13)</f>
        <v>19.3</v>
      </c>
      <c r="E13" s="5" t="n">
        <f aca="false">_xlfn.MAXIFS('County Data'!$C$2:$C$26,'County Data'!$A$2:$A$26,B13)</f>
        <v>26.4</v>
      </c>
      <c r="F13" s="8" t="n">
        <f aca="false">C13/$B$6-1</f>
        <v>0.259782608695652</v>
      </c>
    </row>
    <row r="15" customFormat="false" ht="15" hidden="false" customHeight="false" outlineLevel="0" collapsed="false">
      <c r="A15" s="13" t="s">
        <v>16</v>
      </c>
    </row>
    <row r="16" customFormat="false" ht="15" hidden="false" customHeight="false" outlineLevel="0" collapsed="false">
      <c r="A16" s="14" t="s">
        <v>17</v>
      </c>
    </row>
    <row r="17" customFormat="false" ht="15" hidden="false" customHeight="false" outlineLevel="0" collapsed="false">
      <c r="A17" s="14" t="s">
        <v>18</v>
      </c>
    </row>
    <row r="18" customFormat="false" ht="15" hidden="false" customHeight="false" outlineLevel="0" collapsed="false">
      <c r="A18" s="14" t="s">
        <v>19</v>
      </c>
    </row>
  </sheetData>
  <conditionalFormatting sqref="C9:C13">
    <cfRule type="dataBar" priority="2">
      <dataBar showValue="1" minLength="10" maxLength="90">
        <cfvo type="num" val="0"/>
        <cfvo type="max" val="0"/>
        <color rgb="FF43A047"/>
      </dataBar>
      <extLst>
        <ext xmlns:x14="http://schemas.microsoft.com/office/spreadsheetml/2009/9/main" uri="{B025F937-C7B1-47D3-B67F-A62EFF666E3E}">
          <x14:id>{732C5687-DD3F-4EC3-BAC5-7D5EA353CE57}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2C5687-DD3F-4EC3-BAC5-7D5EA353CE57}">
            <x14:dataBar minLength="10" maxLength="90" axisPosition="none" gradient="true">
              <x14:cfvo type="num">
                <xm:f>0</xm:f>
              </x14:cfvo>
              <x14:cfvo type="max"/>
              <x14:negativeFillColor rgb="FF43A047"/>
              <x14:axisColor rgb="FF000000"/>
            </x14:dataBar>
          </x14:cfRule>
          <xm:sqref>C9:C13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33.75" hidden="false" customHeight="tru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6" t="s">
        <v>26</v>
      </c>
      <c r="F4" s="6" t="s">
        <v>27</v>
      </c>
      <c r="G4" s="6" t="s">
        <v>28</v>
      </c>
      <c r="H4" s="6" t="s">
        <v>29</v>
      </c>
      <c r="I4" s="6" t="s">
        <v>30</v>
      </c>
      <c r="J4" s="6" t="s">
        <v>31</v>
      </c>
      <c r="K4" s="6" t="s">
        <v>32</v>
      </c>
    </row>
    <row r="5" customFormat="false" ht="15" hidden="false" customHeight="false" outlineLevel="0" collapsed="false">
      <c r="A5" s="3" t="s">
        <v>33</v>
      </c>
      <c r="B5" s="15" t="s">
        <v>34</v>
      </c>
      <c r="C5" s="4" t="n">
        <v>11</v>
      </c>
      <c r="D5" s="16" t="n">
        <v>0.0757</v>
      </c>
      <c r="E5" s="17" t="n">
        <v>0.049</v>
      </c>
      <c r="F5" s="17" t="n">
        <v>0.158</v>
      </c>
      <c r="G5" s="5" t="n">
        <f aca="false">D5*100</f>
        <v>7.57</v>
      </c>
      <c r="H5" s="17" t="n">
        <v>0.208</v>
      </c>
      <c r="I5" s="17" t="n">
        <v>0.12</v>
      </c>
      <c r="J5" s="5" t="n">
        <v>114.3</v>
      </c>
      <c r="K5" s="18" t="str">
        <f aca="false">IF(F5&lt;0.05,"Yes","No")</f>
        <v>No</v>
      </c>
    </row>
    <row r="6" customFormat="false" ht="15" hidden="false" customHeight="false" outlineLevel="0" collapsed="false">
      <c r="A6" s="19" t="s">
        <v>35</v>
      </c>
      <c r="B6" s="20" t="s">
        <v>36</v>
      </c>
      <c r="C6" s="9" t="n">
        <v>25</v>
      </c>
      <c r="D6" s="21" t="n">
        <v>0.4398</v>
      </c>
      <c r="E6" s="22" t="n">
        <v>0.078</v>
      </c>
      <c r="F6" s="22" t="n">
        <v>0</v>
      </c>
      <c r="G6" s="11" t="n">
        <f aca="false">D6*100</f>
        <v>43.98</v>
      </c>
      <c r="H6" s="22" t="n">
        <v>0.582</v>
      </c>
      <c r="I6" s="22" t="n">
        <v>0.564</v>
      </c>
      <c r="J6" s="11" t="n">
        <v>337.8</v>
      </c>
      <c r="K6" s="23" t="str">
        <f aca="false">IF(F6&lt;0.05,"Yes","No")</f>
        <v>Yes</v>
      </c>
    </row>
    <row r="7" customFormat="false" ht="15" hidden="false" customHeight="false" outlineLevel="0" collapsed="false">
      <c r="A7" s="3" t="s">
        <v>37</v>
      </c>
      <c r="B7" s="15" t="s">
        <v>36</v>
      </c>
      <c r="C7" s="4" t="n">
        <v>25</v>
      </c>
      <c r="D7" s="16" t="n">
        <v>0.1803</v>
      </c>
      <c r="E7" s="17" t="n">
        <v>0.08</v>
      </c>
      <c r="F7" s="17" t="n">
        <v>0.037</v>
      </c>
      <c r="G7" s="5" t="n">
        <f aca="false">D7*100</f>
        <v>18.03</v>
      </c>
      <c r="H7" s="17" t="n">
        <v>0.835</v>
      </c>
      <c r="I7" s="17" t="n">
        <v>0.792</v>
      </c>
      <c r="J7" s="5" t="n">
        <v>322.5</v>
      </c>
      <c r="K7" s="18" t="str">
        <f aca="false">IF(F7&lt;0.05,"Yes","No")</f>
        <v>Yes</v>
      </c>
    </row>
    <row r="9" customFormat="false" ht="15" hidden="false" customHeight="false" outlineLevel="0" collapsed="false">
      <c r="A9" s="13" t="s">
        <v>38</v>
      </c>
    </row>
    <row r="10" customFormat="false" ht="15" hidden="false" customHeight="false" outlineLevel="0" collapsed="false">
      <c r="A10" s="14" t="s">
        <v>39</v>
      </c>
    </row>
    <row r="11" customFormat="false" ht="15" hidden="false" customHeight="false" outlineLevel="0" collapsed="false">
      <c r="A11" s="14" t="s">
        <v>40</v>
      </c>
    </row>
    <row r="12" customFormat="false" ht="15" hidden="false" customHeight="false" outlineLevel="0" collapsed="false">
      <c r="A12" s="14" t="s">
        <v>41</v>
      </c>
    </row>
    <row r="13" customFormat="false" ht="15" hidden="false" customHeight="false" outlineLevel="0" collapsed="false">
      <c r="A13" s="14" t="s">
        <v>42</v>
      </c>
    </row>
    <row r="14" customFormat="false" ht="15" hidden="false" customHeight="false" outlineLevel="0" collapsed="false">
      <c r="A14" s="14" t="s">
        <v>43</v>
      </c>
    </row>
    <row r="15" customFormat="false" ht="15" hidden="false" customHeight="false" outlineLevel="0" collapsed="false">
      <c r="A15" s="14" t="s">
        <v>44</v>
      </c>
    </row>
    <row r="16" customFormat="false" ht="15" hidden="false" customHeight="false" outlineLevel="0" collapsed="false">
      <c r="A16" s="14" t="s">
        <v>45</v>
      </c>
    </row>
  </sheetData>
  <conditionalFormatting sqref="K5:K7">
    <cfRule type="expression" priority="2" aboveAverage="0" equalAverage="0" bottom="0" percent="0" rank="0" text="" dxfId="0">
      <formula>K5="Yes"</formula>
    </cfRule>
    <cfRule type="expression" priority="3" aboveAverage="0" equalAverage="0" bottom="0" percent="0" rank="0" text="" dxfId="1">
      <formula>K5="No"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30"/>
  </cols>
  <sheetData>
    <row r="1" customFormat="false" ht="33.75" hidden="false" customHeight="true" outlineLevel="0" collapsed="false">
      <c r="A1" s="6" t="s">
        <v>6</v>
      </c>
      <c r="B1" s="6" t="s">
        <v>46</v>
      </c>
      <c r="C1" s="6" t="s">
        <v>47</v>
      </c>
    </row>
    <row r="2" customFormat="false" ht="15" hidden="false" customHeight="false" outlineLevel="0" collapsed="false">
      <c r="A2" s="18" t="s">
        <v>12</v>
      </c>
      <c r="B2" s="4" t="n">
        <v>2019</v>
      </c>
      <c r="C2" s="5" t="n">
        <v>36</v>
      </c>
    </row>
    <row r="3" customFormat="false" ht="15" hidden="false" customHeight="false" outlineLevel="0" collapsed="false">
      <c r="A3" s="23" t="s">
        <v>12</v>
      </c>
      <c r="B3" s="9" t="n">
        <v>2020</v>
      </c>
      <c r="C3" s="11" t="n">
        <v>47.4</v>
      </c>
    </row>
    <row r="4" customFormat="false" ht="15" hidden="false" customHeight="false" outlineLevel="0" collapsed="false">
      <c r="A4" s="18" t="s">
        <v>12</v>
      </c>
      <c r="B4" s="4" t="n">
        <v>2021</v>
      </c>
      <c r="C4" s="5" t="n">
        <v>40.9</v>
      </c>
    </row>
    <row r="5" customFormat="false" ht="15" hidden="false" customHeight="false" outlineLevel="0" collapsed="false">
      <c r="A5" s="23" t="s">
        <v>12</v>
      </c>
      <c r="B5" s="9" t="n">
        <v>2022</v>
      </c>
      <c r="C5" s="11" t="n">
        <v>39</v>
      </c>
    </row>
    <row r="6" customFormat="false" ht="15" hidden="false" customHeight="false" outlineLevel="0" collapsed="false">
      <c r="A6" s="18" t="s">
        <v>12</v>
      </c>
      <c r="B6" s="4" t="n">
        <v>2023</v>
      </c>
      <c r="C6" s="5" t="n">
        <v>44.9</v>
      </c>
    </row>
    <row r="7" customFormat="false" ht="15" hidden="false" customHeight="false" outlineLevel="0" collapsed="false">
      <c r="A7" s="23" t="s">
        <v>11</v>
      </c>
      <c r="B7" s="9" t="n">
        <v>2019</v>
      </c>
      <c r="C7" s="11" t="n">
        <v>44.5</v>
      </c>
    </row>
    <row r="8" customFormat="false" ht="15" hidden="false" customHeight="false" outlineLevel="0" collapsed="false">
      <c r="A8" s="18" t="s">
        <v>11</v>
      </c>
      <c r="B8" s="4" t="n">
        <v>2020</v>
      </c>
      <c r="C8" s="5" t="n">
        <v>51.8</v>
      </c>
    </row>
    <row r="9" customFormat="false" ht="15" hidden="false" customHeight="false" outlineLevel="0" collapsed="false">
      <c r="A9" s="23" t="s">
        <v>11</v>
      </c>
      <c r="B9" s="9" t="n">
        <v>2021</v>
      </c>
      <c r="C9" s="11" t="n">
        <v>42.3</v>
      </c>
    </row>
    <row r="10" customFormat="false" ht="15" hidden="false" customHeight="false" outlineLevel="0" collapsed="false">
      <c r="A10" s="18" t="s">
        <v>11</v>
      </c>
      <c r="B10" s="4" t="n">
        <v>2022</v>
      </c>
      <c r="C10" s="5" t="n">
        <v>39.8</v>
      </c>
    </row>
    <row r="11" customFormat="false" ht="15" hidden="false" customHeight="false" outlineLevel="0" collapsed="false">
      <c r="A11" s="23" t="s">
        <v>11</v>
      </c>
      <c r="B11" s="9" t="n">
        <v>2023</v>
      </c>
      <c r="C11" s="11" t="n">
        <v>39.8</v>
      </c>
    </row>
    <row r="12" customFormat="false" ht="15" hidden="false" customHeight="false" outlineLevel="0" collapsed="false">
      <c r="A12" s="18" t="s">
        <v>15</v>
      </c>
      <c r="B12" s="4" t="n">
        <v>2019</v>
      </c>
      <c r="C12" s="5" t="n">
        <v>20.9</v>
      </c>
    </row>
    <row r="13" customFormat="false" ht="15" hidden="false" customHeight="false" outlineLevel="0" collapsed="false">
      <c r="A13" s="23" t="s">
        <v>15</v>
      </c>
      <c r="B13" s="9" t="n">
        <v>2020</v>
      </c>
      <c r="C13" s="11" t="n">
        <v>19.3</v>
      </c>
    </row>
    <row r="14" customFormat="false" ht="15" hidden="false" customHeight="false" outlineLevel="0" collapsed="false">
      <c r="A14" s="18" t="s">
        <v>15</v>
      </c>
      <c r="B14" s="4" t="n">
        <v>2021</v>
      </c>
      <c r="C14" s="5" t="n">
        <v>25.6</v>
      </c>
    </row>
    <row r="15" customFormat="false" ht="15" hidden="false" customHeight="false" outlineLevel="0" collapsed="false">
      <c r="A15" s="23" t="s">
        <v>15</v>
      </c>
      <c r="B15" s="9" t="n">
        <v>2022</v>
      </c>
      <c r="C15" s="11" t="n">
        <v>23.7</v>
      </c>
    </row>
    <row r="16" customFormat="false" ht="15" hidden="false" customHeight="false" outlineLevel="0" collapsed="false">
      <c r="A16" s="18" t="s">
        <v>15</v>
      </c>
      <c r="B16" s="4" t="n">
        <v>2023</v>
      </c>
      <c r="C16" s="5" t="n">
        <v>26.4</v>
      </c>
    </row>
    <row r="17" customFormat="false" ht="15" hidden="false" customHeight="false" outlineLevel="0" collapsed="false">
      <c r="A17" s="23" t="s">
        <v>13</v>
      </c>
      <c r="B17" s="9" t="n">
        <v>2019</v>
      </c>
      <c r="C17" s="11" t="n">
        <v>37.1</v>
      </c>
    </row>
    <row r="18" customFormat="false" ht="15" hidden="false" customHeight="false" outlineLevel="0" collapsed="false">
      <c r="A18" s="18" t="s">
        <v>13</v>
      </c>
      <c r="B18" s="4" t="n">
        <v>2020</v>
      </c>
      <c r="C18" s="5" t="n">
        <v>40.2</v>
      </c>
    </row>
    <row r="19" customFormat="false" ht="15" hidden="false" customHeight="false" outlineLevel="0" collapsed="false">
      <c r="A19" s="23" t="s">
        <v>13</v>
      </c>
      <c r="B19" s="9" t="n">
        <v>2021</v>
      </c>
      <c r="C19" s="11" t="n">
        <v>32.1</v>
      </c>
    </row>
    <row r="20" customFormat="false" ht="15" hidden="false" customHeight="false" outlineLevel="0" collapsed="false">
      <c r="A20" s="18" t="s">
        <v>13</v>
      </c>
      <c r="B20" s="4" t="n">
        <v>2022</v>
      </c>
      <c r="C20" s="5" t="n">
        <v>33.2</v>
      </c>
    </row>
    <row r="21" customFormat="false" ht="15" hidden="false" customHeight="false" outlineLevel="0" collapsed="false">
      <c r="A21" s="23" t="s">
        <v>13</v>
      </c>
      <c r="B21" s="9" t="n">
        <v>2023</v>
      </c>
      <c r="C21" s="11" t="n">
        <v>26.7</v>
      </c>
    </row>
    <row r="22" customFormat="false" ht="15" hidden="false" customHeight="false" outlineLevel="0" collapsed="false">
      <c r="A22" s="18" t="s">
        <v>14</v>
      </c>
      <c r="B22" s="4" t="n">
        <v>2019</v>
      </c>
      <c r="C22" s="5" t="n">
        <v>31.1</v>
      </c>
    </row>
    <row r="23" customFormat="false" ht="15" hidden="false" customHeight="false" outlineLevel="0" collapsed="false">
      <c r="A23" s="23" t="s">
        <v>14</v>
      </c>
      <c r="B23" s="9" t="n">
        <v>2020</v>
      </c>
      <c r="C23" s="11" t="n">
        <v>35.3</v>
      </c>
    </row>
    <row r="24" customFormat="false" ht="15" hidden="false" customHeight="false" outlineLevel="0" collapsed="false">
      <c r="A24" s="18" t="s">
        <v>14</v>
      </c>
      <c r="B24" s="4" t="n">
        <v>2021</v>
      </c>
      <c r="C24" s="5" t="n">
        <v>30.8</v>
      </c>
    </row>
    <row r="25" customFormat="false" ht="15" hidden="false" customHeight="false" outlineLevel="0" collapsed="false">
      <c r="A25" s="23" t="s">
        <v>14</v>
      </c>
      <c r="B25" s="9" t="n">
        <v>2022</v>
      </c>
      <c r="C25" s="11" t="n">
        <v>35.9</v>
      </c>
    </row>
    <row r="26" customFormat="false" ht="15" hidden="false" customHeight="false" outlineLevel="0" collapsed="false">
      <c r="A26" s="18" t="s">
        <v>14</v>
      </c>
      <c r="B26" s="4" t="n">
        <v>2023</v>
      </c>
      <c r="C26" s="5" t="n">
        <v>33.5</v>
      </c>
    </row>
    <row r="28" customFormat="false" ht="15" hidden="false" customHeight="false" outlineLevel="0" collapsed="false">
      <c r="A28" s="14" t="s">
        <v>48</v>
      </c>
    </row>
  </sheetData>
  <autoFilter ref="A1:C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30"/>
  </cols>
  <sheetData>
    <row r="1" customFormat="false" ht="33.75" hidden="false" customHeight="true" outlineLevel="0" collapsed="false">
      <c r="A1" s="6" t="s">
        <v>49</v>
      </c>
      <c r="B1" s="6" t="s">
        <v>46</v>
      </c>
      <c r="C1" s="6" t="s">
        <v>47</v>
      </c>
    </row>
    <row r="2" customFormat="false" ht="15" hidden="false" customHeight="false" outlineLevel="0" collapsed="false">
      <c r="A2" s="18" t="s">
        <v>50</v>
      </c>
      <c r="B2" s="4" t="n">
        <v>2010</v>
      </c>
      <c r="C2" s="5" t="n">
        <v>19.2</v>
      </c>
    </row>
    <row r="3" customFormat="false" ht="15" hidden="false" customHeight="false" outlineLevel="0" collapsed="false">
      <c r="A3" s="23" t="s">
        <v>50</v>
      </c>
      <c r="B3" s="9" t="n">
        <v>2011</v>
      </c>
      <c r="C3" s="11" t="n">
        <v>17.6</v>
      </c>
    </row>
    <row r="4" customFormat="false" ht="15" hidden="false" customHeight="false" outlineLevel="0" collapsed="false">
      <c r="A4" s="18" t="s">
        <v>50</v>
      </c>
      <c r="B4" s="4" t="n">
        <v>2012</v>
      </c>
      <c r="C4" s="5" t="n">
        <v>19.3</v>
      </c>
    </row>
    <row r="5" customFormat="false" ht="15" hidden="false" customHeight="false" outlineLevel="0" collapsed="false">
      <c r="A5" s="23" t="s">
        <v>50</v>
      </c>
      <c r="B5" s="9" t="n">
        <v>2013</v>
      </c>
      <c r="C5" s="11" t="n">
        <v>18.8</v>
      </c>
    </row>
    <row r="6" customFormat="false" ht="15" hidden="false" customHeight="false" outlineLevel="0" collapsed="false">
      <c r="A6" s="18" t="s">
        <v>50</v>
      </c>
      <c r="B6" s="4" t="n">
        <v>2014</v>
      </c>
      <c r="C6" s="5" t="n">
        <v>18.4</v>
      </c>
    </row>
    <row r="7" customFormat="false" ht="15" hidden="false" customHeight="false" outlineLevel="0" collapsed="false">
      <c r="A7" s="23" t="s">
        <v>50</v>
      </c>
      <c r="B7" s="9" t="n">
        <v>2019</v>
      </c>
      <c r="C7" s="11" t="n">
        <v>19.9</v>
      </c>
    </row>
    <row r="8" customFormat="false" ht="15" hidden="false" customHeight="false" outlineLevel="0" collapsed="false">
      <c r="A8" s="18" t="s">
        <v>50</v>
      </c>
      <c r="B8" s="4" t="n">
        <v>2020</v>
      </c>
      <c r="C8" s="5" t="n">
        <v>19.4</v>
      </c>
    </row>
    <row r="9" customFormat="false" ht="15" hidden="false" customHeight="false" outlineLevel="0" collapsed="false">
      <c r="A9" s="23" t="s">
        <v>50</v>
      </c>
      <c r="B9" s="9" t="n">
        <v>2021</v>
      </c>
      <c r="C9" s="11" t="n">
        <v>16.9</v>
      </c>
    </row>
    <row r="10" customFormat="false" ht="15" hidden="false" customHeight="false" outlineLevel="0" collapsed="false">
      <c r="A10" s="18" t="s">
        <v>50</v>
      </c>
      <c r="B10" s="4" t="n">
        <v>2022</v>
      </c>
      <c r="C10" s="5" t="n">
        <v>16.2</v>
      </c>
    </row>
    <row r="11" customFormat="false" ht="15" hidden="false" customHeight="false" outlineLevel="0" collapsed="false">
      <c r="A11" s="23" t="s">
        <v>50</v>
      </c>
      <c r="B11" s="9" t="n">
        <v>2023</v>
      </c>
      <c r="C11" s="11" t="n">
        <v>19.6</v>
      </c>
    </row>
    <row r="12" customFormat="false" ht="15" hidden="false" customHeight="false" outlineLevel="0" collapsed="false">
      <c r="A12" s="18" t="s">
        <v>50</v>
      </c>
      <c r="B12" s="4" t="n">
        <v>2024</v>
      </c>
      <c r="C12" s="5" t="n">
        <v>18.6</v>
      </c>
    </row>
    <row r="14" customFormat="false" ht="15" hidden="false" customHeight="false" outlineLevel="0" collapsed="false">
      <c r="A14" s="14" t="s">
        <v>51</v>
      </c>
    </row>
    <row r="15" customFormat="false" ht="15" hidden="false" customHeight="false" outlineLevel="0" collapsed="false">
      <c r="A15" s="14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2026-09-20T19:16:14Z</dcterms:created>
  <dc:creator>openpyxl</dc:creator>
  <dc:description/>
  <dc:language>en-US</dc:language>
  <cp:lastModifiedBy/>
  <dcterms:modified xsi:type="dcterms:W3CDTF">2026-09-20T19:16:14Z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